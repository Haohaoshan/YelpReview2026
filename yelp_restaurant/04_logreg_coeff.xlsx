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<sst xmlns="http://schemas.openxmlformats.org/spreadsheetml/2006/main" count="59" uniqueCount="33">
  <si>
    <t xml:space="preserve">ID</t>
  </si>
  <si>
    <t xml:space="preserve">feature</t>
  </si>
  <si>
    <t xml:space="preserve">coef</t>
  </si>
  <si>
    <t xml:space="preserve">abs_coef</t>
  </si>
  <si>
    <t xml:space="preserve">rank</t>
  </si>
  <si>
    <t xml:space="preserve">shap_importance</t>
  </si>
  <si>
    <t xml:space="preserve">rank_xgb</t>
  </si>
  <si>
    <t xml:space="preserve">spearman corr</t>
  </si>
  <si>
    <t xml:space="preserve">action_ratio</t>
  </si>
  <si>
    <t xml:space="preserve">adj_count</t>
  </si>
  <si>
    <t xml:space="preserve">moderate agreement between the two models. </t>
  </si>
  <si>
    <t xml:space="preserve">adv_count</t>
  </si>
  <si>
    <t xml:space="preserve">ari</t>
  </si>
  <si>
    <t xml:space="preserve">avg_dep_depth</t>
  </si>
  <si>
    <t xml:space="preserve">avg_sent_len</t>
  </si>
  <si>
    <t xml:space="preserve">avg_word_len</t>
  </si>
  <si>
    <t xml:space="preserve">burstiness</t>
  </si>
  <si>
    <t xml:space="preserve">char_count</t>
  </si>
  <si>
    <t xml:space="preserve">coleman_liau</t>
  </si>
  <si>
    <t xml:space="preserve">concreteness_proxy</t>
  </si>
  <si>
    <t xml:space="preserve">dale_chall</t>
  </si>
  <si>
    <t xml:space="preserve">flesch_reading_ease</t>
  </si>
  <si>
    <t xml:space="preserve">hapax_ratio</t>
  </si>
  <si>
    <t xml:space="preserve">lemma_count</t>
  </si>
  <si>
    <t xml:space="preserve">noun_count</t>
  </si>
  <si>
    <t xml:space="preserve">punctuation_count</t>
  </si>
  <si>
    <t xml:space="preserve">sent_count</t>
  </si>
  <si>
    <t xml:space="preserve">sentiment_proxy</t>
  </si>
  <si>
    <t xml:space="preserve">smog_index</t>
  </si>
  <si>
    <t xml:space="preserve">token_count</t>
  </si>
  <si>
    <t xml:space="preserve">type_token_ratio</t>
  </si>
  <si>
    <t xml:space="preserve">unique_lemmas</t>
  </si>
  <si>
    <t xml:space="preserve">verb_count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</si>
</sst>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0"/>
      <color theme="1"/>
      <name val="Times New Roman"/>
      <family val="1"/>
    </font>
    <font>
      <sz val="11"/>
      <color rgb="FF00A933"/>
      <name val="Calibri"/>
      <family val="2"/>
      <charset val="1"/>
    </font>
    <font>
      <b val="true"/>
      <sz val="11"/>
      <color rgb="FF00A933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A9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4" activeCellId="0" sqref="M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3.79"/>
    <col collapsed="false" customWidth="true" hidden="false" outlineLevel="0" max="3" min="3" style="1" width="14.19"/>
    <col collapsed="false" customWidth="true" hidden="false" outlineLevel="0" max="4" min="4" style="2" width="14.19"/>
    <col collapsed="false" customWidth="true" hidden="false" outlineLevel="0" max="9" min="9" style="0" width="21"/>
    <col collapsed="false" customWidth="true" hidden="false" outlineLevel="0" max="10" min="10" style="0" width="18.49"/>
    <col collapsed="false" customWidth="true" hidden="false" outlineLevel="0" max="11" min="11" style="0" width="13.35"/>
    <col collapsed="false" customWidth="true" hidden="false" outlineLevel="0" max="13" min="13" style="0" width="39.51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3" t="s">
        <v>4</v>
      </c>
      <c r="H1" s="0" t="s">
        <v>0</v>
      </c>
      <c r="I1" s="4" t="s">
        <v>1</v>
      </c>
      <c r="J1" s="5" t="s">
        <v>5</v>
      </c>
      <c r="K1" s="0" t="s">
        <v>6</v>
      </c>
      <c r="M1" s="0" t="s">
        <v>7</v>
      </c>
    </row>
    <row r="2" customFormat="false" ht="15" hidden="false" customHeight="false" outlineLevel="0" collapsed="false">
      <c r="A2" s="4" t="n">
        <v>23</v>
      </c>
      <c r="B2" s="0" t="s">
        <v>8</v>
      </c>
      <c r="C2" s="1" t="n">
        <v>0.0745309124236171</v>
      </c>
      <c r="D2" s="2" t="n">
        <f aca="false">ABS(C2)</f>
        <v>0.0745309124236171</v>
      </c>
      <c r="E2" s="0" t="n">
        <v>7</v>
      </c>
      <c r="H2" s="4" t="n">
        <v>23</v>
      </c>
      <c r="I2" s="0" t="s">
        <v>8</v>
      </c>
      <c r="J2" s="1" t="n">
        <v>0.0219332575798035</v>
      </c>
      <c r="K2" s="0" t="n">
        <v>15</v>
      </c>
      <c r="M2" s="7" t="n">
        <f aca="false">CORREL(E$2:E$25,K$2:K$25)</f>
        <v>0.426086956521739</v>
      </c>
    </row>
    <row r="3" customFormat="false" ht="15" hidden="false" customHeight="false" outlineLevel="0" collapsed="false">
      <c r="A3" s="4" t="n">
        <v>8</v>
      </c>
      <c r="B3" s="0" t="s">
        <v>9</v>
      </c>
      <c r="C3" s="1" t="n">
        <v>-0.0214346918038492</v>
      </c>
      <c r="D3" s="2" t="n">
        <f aca="false">ABS(C3)</f>
        <v>0.0214346918038492</v>
      </c>
      <c r="E3" s="0" t="n">
        <v>18</v>
      </c>
      <c r="H3" s="4" t="n">
        <v>8</v>
      </c>
      <c r="I3" s="0" t="s">
        <v>9</v>
      </c>
      <c r="J3" s="1" t="n">
        <v>0.0172226056456566</v>
      </c>
      <c r="K3" s="0" t="n">
        <v>21</v>
      </c>
      <c r="M3" s="8" t="s">
        <v>10</v>
      </c>
    </row>
    <row r="4" customFormat="false" ht="15" hidden="false" customHeight="false" outlineLevel="0" collapsed="false">
      <c r="A4" s="4" t="n">
        <v>9</v>
      </c>
      <c r="B4" s="0" t="s">
        <v>11</v>
      </c>
      <c r="C4" s="1" t="n">
        <v>-0.00294653802932715</v>
      </c>
      <c r="D4" s="2" t="n">
        <f aca="false">ABS(C4)</f>
        <v>0.00294653802932715</v>
      </c>
      <c r="E4" s="0" t="n">
        <v>24</v>
      </c>
      <c r="H4" s="4" t="n">
        <v>9</v>
      </c>
      <c r="I4" s="0" t="s">
        <v>11</v>
      </c>
      <c r="J4" s="1" t="n">
        <v>0.0119057716801763</v>
      </c>
      <c r="K4" s="0" t="n">
        <v>22</v>
      </c>
    </row>
    <row r="5" customFormat="false" ht="15" hidden="false" customHeight="false" outlineLevel="0" collapsed="false">
      <c r="A5" s="4" t="n">
        <v>13</v>
      </c>
      <c r="B5" s="0" t="s">
        <v>12</v>
      </c>
      <c r="C5" s="1" t="n">
        <v>0.0108762381048884</v>
      </c>
      <c r="D5" s="2" t="n">
        <f aca="false">ABS(C5)</f>
        <v>0.0108762381048884</v>
      </c>
      <c r="E5" s="0" t="n">
        <v>20</v>
      </c>
      <c r="H5" s="4" t="n">
        <v>13</v>
      </c>
      <c r="I5" s="0" t="s">
        <v>12</v>
      </c>
      <c r="J5" s="1" t="n">
        <v>0.0395662374794483</v>
      </c>
      <c r="K5" s="0" t="n">
        <v>11</v>
      </c>
    </row>
    <row r="6" customFormat="false" ht="15" hidden="false" customHeight="false" outlineLevel="0" collapsed="false">
      <c r="A6" s="4" t="n">
        <v>10</v>
      </c>
      <c r="B6" s="9" t="s">
        <v>13</v>
      </c>
      <c r="C6" s="10" t="n">
        <v>0.0952620837399391</v>
      </c>
      <c r="D6" s="11" t="n">
        <f aca="false">ABS(C6)</f>
        <v>0.0952620837399391</v>
      </c>
      <c r="E6" s="9" t="n">
        <v>5</v>
      </c>
      <c r="H6" s="4" t="n">
        <v>10</v>
      </c>
      <c r="I6" s="0" t="s">
        <v>13</v>
      </c>
      <c r="J6" s="1" t="n">
        <v>0.0564661733806133</v>
      </c>
      <c r="K6" s="0" t="n">
        <v>7</v>
      </c>
    </row>
    <row r="7" customFormat="false" ht="15" hidden="false" customHeight="false" outlineLevel="0" collapsed="false">
      <c r="A7" s="4" t="n">
        <v>18</v>
      </c>
      <c r="B7" s="0" t="s">
        <v>14</v>
      </c>
      <c r="C7" s="1" t="n">
        <v>-0.0340959462324576</v>
      </c>
      <c r="D7" s="2" t="n">
        <f aca="false">ABS(C7)</f>
        <v>0.0340959462324576</v>
      </c>
      <c r="E7" s="0" t="n">
        <v>15</v>
      </c>
      <c r="H7" s="4" t="n">
        <v>18</v>
      </c>
      <c r="I7" s="0" t="s">
        <v>14</v>
      </c>
      <c r="J7" s="1" t="n">
        <v>0.043963123112917</v>
      </c>
      <c r="K7" s="0" t="n">
        <v>10</v>
      </c>
    </row>
    <row r="8" customFormat="false" ht="15" hidden="false" customHeight="false" outlineLevel="0" collapsed="false">
      <c r="A8" s="4" t="n">
        <v>4</v>
      </c>
      <c r="B8" s="0" t="s">
        <v>15</v>
      </c>
      <c r="C8" s="1" t="n">
        <v>-0.0284969404735205</v>
      </c>
      <c r="D8" s="2" t="n">
        <f aca="false">ABS(C8)</f>
        <v>0.0284969404735205</v>
      </c>
      <c r="E8" s="0" t="n">
        <v>16</v>
      </c>
      <c r="H8" s="4" t="n">
        <v>4</v>
      </c>
      <c r="I8" s="9" t="s">
        <v>15</v>
      </c>
      <c r="J8" s="10" t="n">
        <v>0.0855415016412735</v>
      </c>
      <c r="K8" s="9" t="n">
        <v>3</v>
      </c>
    </row>
    <row r="9" customFormat="false" ht="15" hidden="false" customHeight="false" outlineLevel="0" collapsed="false">
      <c r="A9" s="4" t="n">
        <v>21</v>
      </c>
      <c r="B9" s="0" t="s">
        <v>16</v>
      </c>
      <c r="C9" s="1" t="n">
        <v>-0.013765777517856</v>
      </c>
      <c r="D9" s="2" t="n">
        <f aca="false">ABS(C9)</f>
        <v>0.013765777517856</v>
      </c>
      <c r="E9" s="0" t="n">
        <v>19</v>
      </c>
      <c r="H9" s="4" t="n">
        <v>21</v>
      </c>
      <c r="I9" s="0" t="s">
        <v>16</v>
      </c>
      <c r="J9" s="1" t="n">
        <v>0.0181192457675934</v>
      </c>
      <c r="K9" s="0" t="n">
        <v>20</v>
      </c>
    </row>
    <row r="10" customFormat="false" ht="15" hidden="false" customHeight="false" outlineLevel="0" collapsed="false">
      <c r="A10" s="4" t="n">
        <v>19</v>
      </c>
      <c r="B10" s="9" t="s">
        <v>17</v>
      </c>
      <c r="C10" s="10" t="n">
        <v>-1.09027651912349</v>
      </c>
      <c r="D10" s="11" t="n">
        <f aca="false">ABS(C10)</f>
        <v>1.09027651912349</v>
      </c>
      <c r="E10" s="9" t="n">
        <v>2</v>
      </c>
      <c r="H10" s="4" t="n">
        <v>19</v>
      </c>
      <c r="I10" s="9" t="s">
        <v>17</v>
      </c>
      <c r="J10" s="10" t="n">
        <v>0.0787666290998459</v>
      </c>
      <c r="K10" s="9" t="n">
        <v>4</v>
      </c>
    </row>
    <row r="11" customFormat="false" ht="15" hidden="false" customHeight="false" outlineLevel="0" collapsed="false">
      <c r="A11" s="4" t="n">
        <v>14</v>
      </c>
      <c r="B11" s="0" t="s">
        <v>18</v>
      </c>
      <c r="C11" s="1" t="n">
        <v>-0.00736903726354163</v>
      </c>
      <c r="D11" s="2" t="n">
        <f aca="false">ABS(C11)</f>
        <v>0.00736903726354163</v>
      </c>
      <c r="E11" s="0" t="n">
        <v>23</v>
      </c>
      <c r="H11" s="4" t="n">
        <v>14</v>
      </c>
      <c r="I11" s="0" t="s">
        <v>18</v>
      </c>
      <c r="J11" s="1" t="n">
        <v>0.0343791916966438</v>
      </c>
      <c r="K11" s="0" t="n">
        <v>13</v>
      </c>
    </row>
    <row r="12" customFormat="false" ht="15" hidden="false" customHeight="false" outlineLevel="0" collapsed="false">
      <c r="A12" s="4" t="n">
        <v>22</v>
      </c>
      <c r="B12" s="0" t="s">
        <v>19</v>
      </c>
      <c r="C12" s="1" t="n">
        <v>0.00973285519740077</v>
      </c>
      <c r="D12" s="2" t="n">
        <f aca="false">ABS(C12)</f>
        <v>0.00973285519740077</v>
      </c>
      <c r="E12" s="0" t="n">
        <v>21</v>
      </c>
      <c r="H12" s="4" t="n">
        <v>22</v>
      </c>
      <c r="I12" s="0" t="s">
        <v>19</v>
      </c>
      <c r="J12" s="1" t="n">
        <v>0.0197731833904982</v>
      </c>
      <c r="K12" s="0" t="n">
        <v>17</v>
      </c>
    </row>
    <row r="13" customFormat="false" ht="15" hidden="false" customHeight="false" outlineLevel="0" collapsed="false">
      <c r="A13" s="4" t="n">
        <v>15</v>
      </c>
      <c r="B13" s="0" t="s">
        <v>20</v>
      </c>
      <c r="C13" s="1" t="n">
        <v>0.0710417577365141</v>
      </c>
      <c r="D13" s="2" t="n">
        <f aca="false">ABS(C13)</f>
        <v>0.0710417577365141</v>
      </c>
      <c r="E13" s="0" t="n">
        <v>11</v>
      </c>
      <c r="H13" s="4" t="n">
        <v>15</v>
      </c>
      <c r="I13" s="0" t="s">
        <v>20</v>
      </c>
      <c r="J13" s="1" t="n">
        <v>0.049929179251194</v>
      </c>
      <c r="K13" s="0" t="n">
        <v>8</v>
      </c>
    </row>
    <row r="14" customFormat="false" ht="15" hidden="false" customHeight="false" outlineLevel="0" collapsed="false">
      <c r="A14" s="4" t="n">
        <v>11</v>
      </c>
      <c r="B14" s="0" t="s">
        <v>21</v>
      </c>
      <c r="C14" s="1" t="n">
        <v>0.0351232694905421</v>
      </c>
      <c r="D14" s="2" t="n">
        <f aca="false">ABS(C14)</f>
        <v>0.0351232694905421</v>
      </c>
      <c r="E14" s="0" t="n">
        <v>14</v>
      </c>
      <c r="H14" s="4" t="n">
        <v>11</v>
      </c>
      <c r="I14" s="9" t="s">
        <v>21</v>
      </c>
      <c r="J14" s="10" t="n">
        <v>0.0602411516010761</v>
      </c>
      <c r="K14" s="9" t="n">
        <v>5</v>
      </c>
    </row>
    <row r="15" customFormat="false" ht="15" hidden="false" customHeight="false" outlineLevel="0" collapsed="false">
      <c r="A15" s="4" t="n">
        <v>5</v>
      </c>
      <c r="B15" s="0" t="s">
        <v>22</v>
      </c>
      <c r="C15" s="1" t="n">
        <v>-0.0597499971511988</v>
      </c>
      <c r="D15" s="2" t="n">
        <f aca="false">ABS(C15)</f>
        <v>0.0597499971511988</v>
      </c>
      <c r="E15" s="0" t="n">
        <v>13</v>
      </c>
      <c r="H15" s="4" t="n">
        <v>5</v>
      </c>
      <c r="I15" s="0" t="s">
        <v>22</v>
      </c>
      <c r="J15" s="1" t="n">
        <v>0.0368766784667969</v>
      </c>
      <c r="K15" s="0" t="n">
        <v>12</v>
      </c>
    </row>
    <row r="16" customFormat="false" ht="15" hidden="false" customHeight="false" outlineLevel="0" collapsed="false">
      <c r="A16" s="4" t="n">
        <v>1</v>
      </c>
      <c r="B16" s="0" t="s">
        <v>23</v>
      </c>
      <c r="C16" s="1" t="n">
        <v>0.073262681208042</v>
      </c>
      <c r="D16" s="2" t="n">
        <f aca="false">ABS(C16)</f>
        <v>0.073262681208042</v>
      </c>
      <c r="E16" s="0" t="n">
        <v>9</v>
      </c>
      <c r="H16" s="4" t="n">
        <v>1</v>
      </c>
      <c r="I16" s="0" t="s">
        <v>23</v>
      </c>
      <c r="J16" s="1" t="n">
        <v>0.00492249149829149</v>
      </c>
      <c r="K16" s="0" t="n">
        <v>24</v>
      </c>
    </row>
    <row r="17" customFormat="false" ht="15" hidden="false" customHeight="false" outlineLevel="0" collapsed="false">
      <c r="A17" s="4" t="n">
        <v>6</v>
      </c>
      <c r="B17" s="0" t="s">
        <v>24</v>
      </c>
      <c r="C17" s="1" t="n">
        <v>0.0723349155090179</v>
      </c>
      <c r="D17" s="2" t="n">
        <f aca="false">ABS(C17)</f>
        <v>0.0723349155090179</v>
      </c>
      <c r="E17" s="0" t="n">
        <v>10</v>
      </c>
      <c r="H17" s="4" t="n">
        <v>6</v>
      </c>
      <c r="I17" s="0" t="s">
        <v>24</v>
      </c>
      <c r="J17" s="1" t="n">
        <v>0.0258735828101635</v>
      </c>
      <c r="K17" s="0" t="n">
        <v>14</v>
      </c>
    </row>
    <row r="18" customFormat="false" ht="15" hidden="false" customHeight="false" outlineLevel="0" collapsed="false">
      <c r="A18" s="4" t="n">
        <v>20</v>
      </c>
      <c r="B18" s="9" t="s">
        <v>25</v>
      </c>
      <c r="C18" s="10" t="n">
        <v>0.301147378978523</v>
      </c>
      <c r="D18" s="11" t="n">
        <f aca="false">ABS(C18)</f>
        <v>0.301147378978523</v>
      </c>
      <c r="E18" s="9" t="n">
        <v>3</v>
      </c>
      <c r="H18" s="4" t="n">
        <v>20</v>
      </c>
      <c r="I18" s="9" t="s">
        <v>25</v>
      </c>
      <c r="J18" s="10" t="n">
        <v>0.164078027009964</v>
      </c>
      <c r="K18" s="9" t="n">
        <v>2</v>
      </c>
    </row>
    <row r="19" customFormat="false" ht="15" hidden="false" customHeight="false" outlineLevel="0" collapsed="false">
      <c r="A19" s="4" t="n">
        <v>17</v>
      </c>
      <c r="B19" s="0" t="s">
        <v>26</v>
      </c>
      <c r="C19" s="1" t="n">
        <v>0.0781056914269092</v>
      </c>
      <c r="D19" s="2" t="n">
        <f aca="false">ABS(C19)</f>
        <v>0.0781056914269092</v>
      </c>
      <c r="E19" s="0" t="n">
        <v>6</v>
      </c>
      <c r="H19" s="4" t="n">
        <v>17</v>
      </c>
      <c r="I19" s="0" t="s">
        <v>26</v>
      </c>
      <c r="J19" s="1" t="n">
        <v>0.0192621778696775</v>
      </c>
      <c r="K19" s="0" t="n">
        <v>18</v>
      </c>
    </row>
    <row r="20" customFormat="false" ht="15" hidden="false" customHeight="false" outlineLevel="0" collapsed="false">
      <c r="A20" s="4" t="n">
        <v>16</v>
      </c>
      <c r="B20" s="0" t="s">
        <v>27</v>
      </c>
      <c r="C20" s="1" t="n">
        <v>-0.026344622633737</v>
      </c>
      <c r="D20" s="2" t="n">
        <f aca="false">ABS(C20)</f>
        <v>0.026344622633737</v>
      </c>
      <c r="E20" s="0" t="n">
        <v>17</v>
      </c>
      <c r="H20" s="4" t="n">
        <v>16</v>
      </c>
      <c r="I20" s="0" t="s">
        <v>27</v>
      </c>
      <c r="J20" s="1" t="n">
        <v>0.048754870891571</v>
      </c>
      <c r="K20" s="0" t="n">
        <v>9</v>
      </c>
    </row>
    <row r="21" customFormat="false" ht="15" hidden="false" customHeight="false" outlineLevel="0" collapsed="false">
      <c r="A21" s="4" t="n">
        <v>12</v>
      </c>
      <c r="B21" s="0" t="s">
        <v>28</v>
      </c>
      <c r="C21" s="1" t="n">
        <v>-0.0085848389510726</v>
      </c>
      <c r="D21" s="2" t="n">
        <f aca="false">ABS(C21)</f>
        <v>0.0085848389510726</v>
      </c>
      <c r="E21" s="0" t="n">
        <v>22</v>
      </c>
      <c r="H21" s="4" t="n">
        <v>12</v>
      </c>
      <c r="I21" s="0" t="s">
        <v>28</v>
      </c>
      <c r="J21" s="1" t="n">
        <v>0.0101683139801025</v>
      </c>
      <c r="K21" s="0" t="n">
        <v>23</v>
      </c>
    </row>
    <row r="22" customFormat="false" ht="15" hidden="false" customHeight="false" outlineLevel="0" collapsed="false">
      <c r="A22" s="4" t="n">
        <v>0</v>
      </c>
      <c r="B22" s="0" t="s">
        <v>29</v>
      </c>
      <c r="C22" s="1" t="n">
        <v>0.073262681208042</v>
      </c>
      <c r="D22" s="2" t="n">
        <f aca="false">ABS(C22)</f>
        <v>0.073262681208042</v>
      </c>
      <c r="E22" s="0" t="n">
        <v>8</v>
      </c>
      <c r="H22" s="4" t="n">
        <v>0</v>
      </c>
      <c r="I22" s="0" t="s">
        <v>29</v>
      </c>
      <c r="J22" s="1" t="n">
        <v>0.0185490753501654</v>
      </c>
      <c r="K22" s="0" t="n">
        <v>19</v>
      </c>
    </row>
    <row r="23" customFormat="false" ht="15" hidden="false" customHeight="false" outlineLevel="0" collapsed="false">
      <c r="A23" s="4" t="n">
        <v>3</v>
      </c>
      <c r="B23" s="0" t="s">
        <v>30</v>
      </c>
      <c r="C23" s="1" t="n">
        <v>-0.0678113892065395</v>
      </c>
      <c r="D23" s="2" t="n">
        <f aca="false">ABS(C23)</f>
        <v>0.0678113892065395</v>
      </c>
      <c r="E23" s="0" t="n">
        <v>12</v>
      </c>
      <c r="H23" s="4" t="n">
        <v>3</v>
      </c>
      <c r="I23" s="0" t="s">
        <v>30</v>
      </c>
      <c r="J23" s="1" t="n">
        <v>0.0590146631002426</v>
      </c>
      <c r="K23" s="0" t="n">
        <v>6</v>
      </c>
    </row>
    <row r="24" customFormat="false" ht="15" hidden="false" customHeight="false" outlineLevel="0" collapsed="false">
      <c r="A24" s="4" t="n">
        <v>2</v>
      </c>
      <c r="B24" s="9" t="s">
        <v>31</v>
      </c>
      <c r="C24" s="10" t="n">
        <v>1.39617617252116</v>
      </c>
      <c r="D24" s="11" t="n">
        <f aca="false">ABS(C24)</f>
        <v>1.39617617252116</v>
      </c>
      <c r="E24" s="9" t="n">
        <v>1</v>
      </c>
      <c r="H24" s="4" t="n">
        <v>2</v>
      </c>
      <c r="I24" s="9" t="s">
        <v>31</v>
      </c>
      <c r="J24" s="10" t="n">
        <v>0.390650033950806</v>
      </c>
      <c r="K24" s="9" t="n">
        <v>1</v>
      </c>
    </row>
    <row r="25" customFormat="false" ht="15" hidden="false" customHeight="false" outlineLevel="0" collapsed="false">
      <c r="A25" s="4" t="n">
        <v>7</v>
      </c>
      <c r="B25" s="9" t="s">
        <v>32</v>
      </c>
      <c r="C25" s="10" t="n">
        <v>-0.251856412291331</v>
      </c>
      <c r="D25" s="11" t="n">
        <f aca="false">ABS(C25)</f>
        <v>0.251856412291331</v>
      </c>
      <c r="E25" s="9" t="n">
        <v>4</v>
      </c>
      <c r="H25" s="4" t="n">
        <v>7</v>
      </c>
      <c r="I25" s="0" t="s">
        <v>32</v>
      </c>
      <c r="J25" s="1" t="n">
        <v>0.0208333339542151</v>
      </c>
      <c r="K25" s="0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2026-07-26T17:50:24Z</dcterms:created>
  <dc:creator>openpyxl</dc:creator>
  <dc:description/>
  <dc:language>en-US</dc:language>
  <cp:lastModifiedBy/>
  <dcterms:modified xsi:type="dcterms:W3CDTF">2026-07-26T13:11:53Z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