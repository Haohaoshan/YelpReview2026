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<sst xmlns="http://schemas.openxmlformats.org/spreadsheetml/2006/main" count="43" uniqueCount="38">
  <si>
    <t xml:space="preserve">Feature</t>
  </si>
  <si>
    <t xml:space="preserve">low_engagement_mean</t>
  </si>
  <si>
    <t xml:space="preserve">high_engagement_mean</t>
  </si>
  <si>
    <t xml:space="preserve">difference</t>
  </si>
  <si>
    <t xml:space="preserve">abs_diff</t>
  </si>
  <si>
    <t xml:space="preserve">pct_diff</t>
  </si>
  <si>
    <t xml:space="preserve">LR rank</t>
  </si>
  <si>
    <t xml:space="preserve">xgb rank</t>
  </si>
  <si>
    <t xml:space="preserve">unique_lemmas</t>
  </si>
  <si>
    <t xml:space="preserve">punctuation_count</t>
  </si>
  <si>
    <t xml:space="preserve">unique_tokens</t>
  </si>
  <si>
    <t xml:space="preserve">avg_word_len</t>
  </si>
  <si>
    <t xml:space="preserve">char_count</t>
  </si>
  <si>
    <t xml:space="preserve">avg_dep_depth</t>
  </si>
  <si>
    <t xml:space="preserve">type_lemma_ratio</t>
  </si>
  <si>
    <t xml:space="preserve">flesch_reading_ease</t>
  </si>
  <si>
    <t xml:space="preserve">dale_chall</t>
  </si>
  <si>
    <t xml:space="preserve">sentiment_proxy</t>
  </si>
  <si>
    <t xml:space="preserve">avg_sent_len</t>
  </si>
  <si>
    <t xml:space="preserve">hapax_ratio</t>
  </si>
  <si>
    <t xml:space="preserve">coleman_liau</t>
  </si>
  <si>
    <t xml:space="preserve">ari</t>
  </si>
  <si>
    <t xml:space="preserve">noun_count</t>
  </si>
  <si>
    <t xml:space="preserve">sent_count</t>
  </si>
  <si>
    <t xml:space="preserve">action_ratio</t>
  </si>
  <si>
    <t xml:space="preserve">verb_count</t>
  </si>
  <si>
    <t xml:space="preserve">concreteness_proxy</t>
  </si>
  <si>
    <t xml:space="preserve">burstiness</t>
  </si>
  <si>
    <t xml:space="preserve">token_count</t>
  </si>
  <si>
    <t xml:space="preserve">adj_count</t>
  </si>
  <si>
    <t xml:space="preserve">adv_count</t>
  </si>
  <si>
    <t xml:space="preserve">smog_index</t>
  </si>
  <si>
    <t xml:space="preserve">low</t>
  </si>
  <si>
    <t xml:space="preserve">high</t>
  </si>
  <si>
    <t xml:space="preserve">intermediate</t>
  </si>
  <si>
    <t xml:space="preserve">total</t>
  </si>
  <si>
    <t xml:space="preserve">training</t>
  </si>
  <si>
    <t xml:space="preserve">test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</si>
</sst>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%"/>
    <numFmt numFmtId="167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A9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4" activeCellId="0" sqref="A24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3.5"/>
    <col collapsed="false" customWidth="true" hidden="false" outlineLevel="0" max="2" min="2" style="2" width="25.46"/>
    <col collapsed="false" customWidth="true" hidden="false" outlineLevel="0" max="3" min="3" style="2" width="25.87"/>
    <col collapsed="false" customWidth="true" hidden="false" outlineLevel="0" max="4" min="4" style="2" width="12.51"/>
    <col collapsed="false" customWidth="true" hidden="false" outlineLevel="0" max="5" min="5" style="3" width="10.29"/>
    <col collapsed="false" customWidth="true" hidden="false" outlineLevel="0" max="7" min="7" style="0" width="4.45"/>
    <col collapsed="false" customWidth="true" hidden="false" outlineLevel="0" max="16384" min="16383" style="0" width="11.53"/>
  </cols>
  <sheetData>
    <row r="1" customFormat="false" ht="15" hidden="false" customHeight="false" outlineLevel="0" collapsed="false">
      <c r="A1" s="1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H1" s="0" t="s">
        <v>6</v>
      </c>
      <c r="I1" s="0" t="s">
        <v>7</v>
      </c>
    </row>
    <row r="2" customFormat="false" ht="15" hidden="false" customHeight="false" outlineLevel="0" collapsed="false">
      <c r="A2" s="7" t="s">
        <v>8</v>
      </c>
      <c r="B2" s="2" t="n">
        <v>50.6417700615907</v>
      </c>
      <c r="C2" s="2" t="n">
        <v>79.6001053684131</v>
      </c>
      <c r="D2" s="2" t="n">
        <v>28.9583353068225</v>
      </c>
      <c r="E2" s="5" t="n">
        <f aca="false">ABS(D2)</f>
        <v>28.9583353068225</v>
      </c>
      <c r="F2" s="8" t="n">
        <f aca="false">E2/B2</f>
        <v>0.571827076178484</v>
      </c>
      <c r="H2" s="9" t="n">
        <v>1</v>
      </c>
      <c r="I2" s="9" t="n">
        <v>1</v>
      </c>
    </row>
    <row r="3" customFormat="false" ht="15" hidden="false" customHeight="false" outlineLevel="0" collapsed="false">
      <c r="A3" s="7" t="s">
        <v>9</v>
      </c>
      <c r="B3" s="2" t="n">
        <v>10.2962152994734</v>
      </c>
      <c r="C3" s="2" t="n">
        <v>18.452675605062</v>
      </c>
      <c r="D3" s="2" t="n">
        <v>8.15646030558863</v>
      </c>
      <c r="E3" s="5" t="n">
        <f aca="false">ABS(D3)</f>
        <v>8.15646030558863</v>
      </c>
      <c r="F3" s="8" t="n">
        <f aca="false">E3/B3</f>
        <v>0.792180434106287</v>
      </c>
      <c r="H3" s="9" t="n">
        <v>3</v>
      </c>
      <c r="I3" s="9" t="n">
        <v>2</v>
      </c>
    </row>
    <row r="4" customFormat="false" ht="15" hidden="false" customHeight="false" outlineLevel="0" collapsed="false">
      <c r="A4" s="7" t="s">
        <v>10</v>
      </c>
      <c r="B4" s="2" t="n">
        <v>53.3869573626112</v>
      </c>
      <c r="C4" s="2" t="n">
        <v>84.7281387422452</v>
      </c>
      <c r="D4" s="2" t="n">
        <v>31.341181379634</v>
      </c>
      <c r="E4" s="5" t="n">
        <f aca="false">ABS(D4)</f>
        <v>31.341181379634</v>
      </c>
      <c r="F4" s="8" t="n">
        <f aca="false">E4/B4</f>
        <v>0.587056894191602</v>
      </c>
      <c r="H4" s="0" t="n">
        <v>10</v>
      </c>
      <c r="I4" s="9" t="n">
        <v>3</v>
      </c>
    </row>
    <row r="5" customFormat="false" ht="16.4" hidden="false" customHeight="true" outlineLevel="0" collapsed="false">
      <c r="A5" s="7" t="s">
        <v>11</v>
      </c>
      <c r="B5" s="2" t="n">
        <v>4.32130348524352</v>
      </c>
      <c r="C5" s="2" t="n">
        <v>4.25320786151172</v>
      </c>
      <c r="D5" s="2" t="n">
        <v>-0.0680956237317965</v>
      </c>
      <c r="E5" s="5" t="n">
        <f aca="false">ABS(D5)</f>
        <v>0.0680956237317965</v>
      </c>
      <c r="F5" s="10" t="n">
        <f aca="false">E5/B5</f>
        <v>0.015758121123483</v>
      </c>
      <c r="H5" s="0" t="n">
        <v>18</v>
      </c>
      <c r="I5" s="9" t="n">
        <v>4</v>
      </c>
    </row>
    <row r="6" customFormat="false" ht="15" hidden="false" customHeight="false" outlineLevel="0" collapsed="false">
      <c r="A6" s="7" t="s">
        <v>12</v>
      </c>
      <c r="B6" s="2" t="n">
        <v>412.068731589753</v>
      </c>
      <c r="C6" s="2" t="n">
        <v>723.794950917673</v>
      </c>
      <c r="D6" s="2" t="n">
        <v>311.72621932792</v>
      </c>
      <c r="E6" s="5" t="n">
        <f aca="false">ABS(D6)</f>
        <v>311.72621932792</v>
      </c>
      <c r="F6" s="8" t="n">
        <f aca="false">E6/B6</f>
        <v>0.7564908361896</v>
      </c>
      <c r="H6" s="9" t="n">
        <v>2</v>
      </c>
      <c r="I6" s="9" t="n">
        <v>5</v>
      </c>
    </row>
    <row r="7" customFormat="false" ht="15" hidden="false" customHeight="false" outlineLevel="0" collapsed="false">
      <c r="A7" s="7" t="s">
        <v>13</v>
      </c>
      <c r="B7" s="2" t="n">
        <v>2.15745059317041</v>
      </c>
      <c r="C7" s="2" t="n">
        <v>2.34839071142911</v>
      </c>
      <c r="D7" s="2" t="n">
        <v>0.190940118258708</v>
      </c>
      <c r="E7" s="5" t="n">
        <f aca="false">ABS(D7)</f>
        <v>0.190940118258708</v>
      </c>
      <c r="F7" s="8" t="n">
        <f aca="false">E7/B7</f>
        <v>0.0885026609013179</v>
      </c>
      <c r="H7" s="9" t="n">
        <v>6</v>
      </c>
      <c r="I7" s="9" t="n">
        <v>6</v>
      </c>
    </row>
    <row r="8" customFormat="false" ht="15" hidden="false" customHeight="false" outlineLevel="0" collapsed="false">
      <c r="A8" s="7" t="s">
        <v>14</v>
      </c>
      <c r="B8" s="2" t="n">
        <v>0.757128615333708</v>
      </c>
      <c r="C8" s="2" t="n">
        <v>0.682743960676216</v>
      </c>
      <c r="D8" s="2" t="n">
        <v>-0.0743846546574922</v>
      </c>
      <c r="E8" s="5" t="n">
        <f aca="false">ABS(D8)</f>
        <v>0.0743846546574922</v>
      </c>
      <c r="F8" s="8" t="n">
        <f aca="false">E8/B8</f>
        <v>0.0982457315058774</v>
      </c>
      <c r="H8" s="0" t="n">
        <v>12</v>
      </c>
      <c r="I8" s="9" t="n">
        <v>7</v>
      </c>
    </row>
    <row r="9" customFormat="false" ht="15" hidden="false" customHeight="false" outlineLevel="0" collapsed="false">
      <c r="A9" s="7" t="s">
        <v>15</v>
      </c>
      <c r="B9" s="2" t="n">
        <v>74.957604314403</v>
      </c>
      <c r="C9" s="2" t="n">
        <v>74.9594948374073</v>
      </c>
      <c r="D9" s="2" t="n">
        <v>0.00189052300430603</v>
      </c>
      <c r="E9" s="5" t="n">
        <f aca="false">ABS(D9)</f>
        <v>0.00189052300430603</v>
      </c>
      <c r="F9" s="8" t="n">
        <f aca="false">E9/B9</f>
        <v>2.52212303421064E-005</v>
      </c>
      <c r="H9" s="0" t="n">
        <v>16</v>
      </c>
      <c r="I9" s="9" t="n">
        <v>8</v>
      </c>
    </row>
    <row r="10" customFormat="false" ht="15" hidden="false" customHeight="false" outlineLevel="0" collapsed="false">
      <c r="A10" s="7" t="s">
        <v>16</v>
      </c>
      <c r="B10" s="2" t="n">
        <v>8.01403890028536</v>
      </c>
      <c r="C10" s="2" t="n">
        <v>8.05177110144549</v>
      </c>
      <c r="D10" s="2" t="n">
        <v>0.0377322011601287</v>
      </c>
      <c r="E10" s="5" t="n">
        <f aca="false">ABS(D10)</f>
        <v>0.0377322011601287</v>
      </c>
      <c r="F10" s="8" t="n">
        <f aca="false">E10/B10</f>
        <v>0.00470826279103601</v>
      </c>
      <c r="H10" s="0" t="n">
        <v>9</v>
      </c>
      <c r="I10" s="0" t="n">
        <v>9</v>
      </c>
    </row>
    <row r="11" customFormat="false" ht="15" hidden="false" customHeight="false" outlineLevel="0" collapsed="false">
      <c r="A11" s="7" t="s">
        <v>17</v>
      </c>
      <c r="B11" s="2" t="n">
        <v>0.677149366985034</v>
      </c>
      <c r="C11" s="2" t="n">
        <v>0.696687189136302</v>
      </c>
      <c r="D11" s="2" t="n">
        <v>0.0195378221512679</v>
      </c>
      <c r="E11" s="5" t="n">
        <f aca="false">ABS(D11)</f>
        <v>0.0195378221512679</v>
      </c>
      <c r="F11" s="8" t="n">
        <f aca="false">E11/B11</f>
        <v>0.0288530464678109</v>
      </c>
      <c r="H11" s="0" t="n">
        <v>17</v>
      </c>
      <c r="I11" s="0" t="n">
        <v>10</v>
      </c>
    </row>
    <row r="12" customFormat="false" ht="15" hidden="false" customHeight="false" outlineLevel="0" collapsed="false">
      <c r="A12" s="7" t="s">
        <v>18</v>
      </c>
      <c r="B12" s="2" t="n">
        <v>11.9065344969824</v>
      </c>
      <c r="C12" s="2" t="n">
        <v>13.2994713905005</v>
      </c>
      <c r="D12" s="2" t="n">
        <v>1.39293689351811</v>
      </c>
      <c r="E12" s="5" t="n">
        <f aca="false">ABS(D12)</f>
        <v>1.39293689351811</v>
      </c>
      <c r="F12" s="8" t="n">
        <f aca="false">E12/B12</f>
        <v>0.116989279615419</v>
      </c>
      <c r="H12" s="0" t="n">
        <v>15</v>
      </c>
      <c r="I12" s="0" t="n">
        <v>11</v>
      </c>
    </row>
    <row r="13" customFormat="false" ht="15" hidden="false" customHeight="false" outlineLevel="0" collapsed="false">
      <c r="A13" s="7" t="s">
        <v>19</v>
      </c>
      <c r="B13" s="2" t="n">
        <v>0.809599898520037</v>
      </c>
      <c r="C13" s="2" t="n">
        <v>0.768553727003684</v>
      </c>
      <c r="D13" s="2" t="n">
        <v>-0.0410461715163528</v>
      </c>
      <c r="E13" s="5" t="n">
        <f aca="false">ABS(D13)</f>
        <v>0.0410461715163528</v>
      </c>
      <c r="F13" s="8" t="n">
        <f aca="false">E13/B13</f>
        <v>0.0506993288800875</v>
      </c>
      <c r="H13" s="0" t="n">
        <v>11</v>
      </c>
      <c r="I13" s="0" t="n">
        <v>12</v>
      </c>
    </row>
    <row r="14" customFormat="false" ht="15" hidden="false" customHeight="false" outlineLevel="0" collapsed="false">
      <c r="A14" s="7" t="s">
        <v>20</v>
      </c>
      <c r="B14" s="2" t="n">
        <v>6.72887040171174</v>
      </c>
      <c r="C14" s="2" t="n">
        <v>6.6921159628216</v>
      </c>
      <c r="D14" s="2" t="n">
        <v>-0.0367544388901333</v>
      </c>
      <c r="E14" s="5" t="n">
        <f aca="false">ABS(D14)</f>
        <v>0.0367544388901333</v>
      </c>
      <c r="F14" s="8" t="n">
        <f aca="false">E14/B14</f>
        <v>0.00546220044315067</v>
      </c>
      <c r="H14" s="0" t="n">
        <v>21</v>
      </c>
      <c r="I14" s="0" t="n">
        <v>13</v>
      </c>
    </row>
    <row r="15" customFormat="false" ht="15" hidden="false" customHeight="false" outlineLevel="0" collapsed="false">
      <c r="A15" s="7" t="s">
        <v>21</v>
      </c>
      <c r="B15" s="2" t="n">
        <v>6.07031193381549</v>
      </c>
      <c r="C15" s="2" t="n">
        <v>6.42273608019925</v>
      </c>
      <c r="D15" s="2" t="n">
        <v>0.352424146383759</v>
      </c>
      <c r="E15" s="5" t="n">
        <f aca="false">ABS(D15)</f>
        <v>0.352424146383759</v>
      </c>
      <c r="F15" s="8" t="n">
        <f aca="false">E15/B15</f>
        <v>0.0580570076507161</v>
      </c>
      <c r="H15" s="0" t="n">
        <v>19</v>
      </c>
      <c r="I15" s="0" t="n">
        <v>14</v>
      </c>
    </row>
    <row r="16" customFormat="false" ht="15" hidden="false" customHeight="false" outlineLevel="0" collapsed="false">
      <c r="A16" s="7" t="s">
        <v>22</v>
      </c>
      <c r="B16" s="2" t="n">
        <v>15.763932280044</v>
      </c>
      <c r="C16" s="2" t="n">
        <v>27.6677454385154</v>
      </c>
      <c r="D16" s="2" t="n">
        <v>11.9038131584714</v>
      </c>
      <c r="E16" s="5" t="n">
        <f aca="false">ABS(D16)</f>
        <v>11.9038131584714</v>
      </c>
      <c r="F16" s="8" t="n">
        <f aca="false">E16/B16</f>
        <v>0.755129681287757</v>
      </c>
      <c r="H16" s="0" t="n">
        <v>13</v>
      </c>
      <c r="I16" s="0" t="n">
        <v>15</v>
      </c>
    </row>
    <row r="17" customFormat="false" ht="15" hidden="false" customHeight="false" outlineLevel="0" collapsed="false">
      <c r="A17" s="7" t="s">
        <v>23</v>
      </c>
      <c r="B17" s="2" t="n">
        <v>6.35751584397037</v>
      </c>
      <c r="C17" s="2" t="n">
        <v>10.0199769909792</v>
      </c>
      <c r="D17" s="2" t="n">
        <v>3.66246114700881</v>
      </c>
      <c r="E17" s="5" t="n">
        <f aca="false">ABS(D17)</f>
        <v>3.66246114700881</v>
      </c>
      <c r="F17" s="8" t="n">
        <f aca="false">E17/B17</f>
        <v>0.576083683768147</v>
      </c>
      <c r="H17" s="9" t="n">
        <v>7</v>
      </c>
      <c r="I17" s="0" t="n">
        <v>16</v>
      </c>
    </row>
    <row r="18" customFormat="false" ht="15" hidden="false" customHeight="false" outlineLevel="0" collapsed="false">
      <c r="A18" s="7" t="s">
        <v>24</v>
      </c>
      <c r="B18" s="2" t="n">
        <v>0.112019906844741</v>
      </c>
      <c r="C18" s="2" t="n">
        <v>0.118635180490758</v>
      </c>
      <c r="D18" s="2" t="n">
        <v>0.0066152736460172</v>
      </c>
      <c r="E18" s="5" t="n">
        <f aca="false">ABS(D18)</f>
        <v>0.0066152736460172</v>
      </c>
      <c r="F18" s="8" t="n">
        <f aca="false">E18/B18</f>
        <v>0.059054446949201</v>
      </c>
      <c r="H18" s="9" t="n">
        <v>8</v>
      </c>
      <c r="I18" s="0" t="n">
        <v>17</v>
      </c>
    </row>
    <row r="19" customFormat="false" ht="15" hidden="false" customHeight="false" outlineLevel="0" collapsed="false">
      <c r="A19" s="7" t="s">
        <v>25</v>
      </c>
      <c r="B19" s="2" t="n">
        <v>9.05497783331846</v>
      </c>
      <c r="C19" s="2" t="n">
        <v>16.3619189953444</v>
      </c>
      <c r="D19" s="2" t="n">
        <v>7.30694116202598</v>
      </c>
      <c r="E19" s="5" t="n">
        <f aca="false">ABS(D19)</f>
        <v>7.30694116202598</v>
      </c>
      <c r="F19" s="8" t="n">
        <f aca="false">E19/B19</f>
        <v>0.806952959635036</v>
      </c>
      <c r="H19" s="9" t="n">
        <v>4</v>
      </c>
      <c r="I19" s="0" t="n">
        <v>18</v>
      </c>
    </row>
    <row r="20" customFormat="false" ht="15" hidden="false" customHeight="false" outlineLevel="0" collapsed="false">
      <c r="A20" s="7" t="s">
        <v>26</v>
      </c>
      <c r="B20" s="2" t="n">
        <v>0.21920297460508</v>
      </c>
      <c r="C20" s="2" t="n">
        <v>0.21354425939827</v>
      </c>
      <c r="D20" s="2" t="n">
        <v>-0.00565871520680911</v>
      </c>
      <c r="E20" s="5" t="n">
        <f aca="false">ABS(D20)</f>
        <v>0.00565871520680911</v>
      </c>
      <c r="F20" s="8" t="n">
        <f aca="false">E20/B20</f>
        <v>0.0258149562842564</v>
      </c>
      <c r="H20" s="0" t="n">
        <v>23</v>
      </c>
      <c r="I20" s="0" t="n">
        <v>19</v>
      </c>
    </row>
    <row r="21" customFormat="false" ht="15" hidden="false" customHeight="false" outlineLevel="0" collapsed="false">
      <c r="A21" s="7" t="s">
        <v>27</v>
      </c>
      <c r="B21" s="2" t="n">
        <v>5.98911248664057</v>
      </c>
      <c r="C21" s="2" t="n">
        <v>7.11321737745531</v>
      </c>
      <c r="D21" s="2" t="n">
        <v>1.12410489081474</v>
      </c>
      <c r="E21" s="5" t="n">
        <f aca="false">ABS(D21)</f>
        <v>1.12410489081474</v>
      </c>
      <c r="F21" s="8" t="n">
        <f aca="false">E21/B21</f>
        <v>0.187691397234931</v>
      </c>
      <c r="H21" s="0" t="n">
        <v>20</v>
      </c>
      <c r="I21" s="0" t="n">
        <v>20</v>
      </c>
    </row>
    <row r="22" customFormat="false" ht="15" hidden="false" customHeight="false" outlineLevel="0" collapsed="false">
      <c r="A22" s="7" t="s">
        <v>28</v>
      </c>
      <c r="B22" s="2" t="n">
        <v>75.4895638073135</v>
      </c>
      <c r="C22" s="2" t="n">
        <v>132.874117001946</v>
      </c>
      <c r="D22" s="2" t="n">
        <v>57.3845531946326</v>
      </c>
      <c r="E22" s="5" t="n">
        <f aca="false">ABS(D22)</f>
        <v>57.3845531946326</v>
      </c>
      <c r="F22" s="8" t="n">
        <f aca="false">E22/B22</f>
        <v>0.760165383139664</v>
      </c>
      <c r="H22" s="9" t="n">
        <v>5</v>
      </c>
      <c r="I22" s="0" t="n">
        <v>21</v>
      </c>
    </row>
    <row r="23" customFormat="false" ht="15" hidden="false" customHeight="false" outlineLevel="0" collapsed="false">
      <c r="A23" s="7" t="s">
        <v>29</v>
      </c>
      <c r="B23" s="2" t="n">
        <v>7.92960218988961</v>
      </c>
      <c r="C23" s="2" t="n">
        <v>12.8474523422968</v>
      </c>
      <c r="D23" s="2" t="n">
        <v>4.91785015240721</v>
      </c>
      <c r="E23" s="5" t="n">
        <f aca="false">ABS(D23)</f>
        <v>4.91785015240721</v>
      </c>
      <c r="F23" s="8" t="n">
        <f aca="false">E23/B23</f>
        <v>0.620188760374078</v>
      </c>
      <c r="H23" s="0" t="n">
        <v>14</v>
      </c>
      <c r="I23" s="0" t="n">
        <v>22</v>
      </c>
    </row>
    <row r="24" customFormat="false" ht="15" hidden="false" customHeight="false" outlineLevel="0" collapsed="false">
      <c r="A24" s="7" t="s">
        <v>30</v>
      </c>
      <c r="B24" s="2" t="n">
        <v>5.67532506173942</v>
      </c>
      <c r="C24" s="2" t="n">
        <v>9.66335867192792</v>
      </c>
      <c r="D24" s="2" t="n">
        <v>3.98803361018851</v>
      </c>
      <c r="E24" s="5" t="n">
        <f aca="false">ABS(D24)</f>
        <v>3.98803361018851</v>
      </c>
      <c r="F24" s="8" t="n">
        <f aca="false">E24/B24</f>
        <v>0.702696949831844</v>
      </c>
      <c r="H24" s="0" t="n">
        <v>24</v>
      </c>
      <c r="I24" s="0" t="n">
        <v>23</v>
      </c>
    </row>
    <row r="25" customFormat="false" ht="15" hidden="false" customHeight="false" outlineLevel="0" collapsed="false">
      <c r="A25" s="7" t="s">
        <v>31</v>
      </c>
      <c r="B25" s="2" t="n">
        <v>8.7250190708696</v>
      </c>
      <c r="C25" s="2" t="n">
        <v>8.94846264507967</v>
      </c>
      <c r="D25" s="2" t="n">
        <v>0.223443574210076</v>
      </c>
      <c r="E25" s="5" t="n">
        <f aca="false">ABS(D25)</f>
        <v>0.223443574210076</v>
      </c>
      <c r="F25" s="8" t="n">
        <f aca="false">E25/B25</f>
        <v>0.0256095227294221</v>
      </c>
      <c r="H25" s="0" t="n">
        <v>22</v>
      </c>
      <c r="I25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true" showRowColHeaders="true" showZeros="true" rightToLeft="false" tabSelected="false" showOutlineSymbols="true" defaultGridColor="true" view="normal" topLeftCell="A1" colorId="64" zoomScale="173" zoomScaleNormal="173" zoomScalePageLayoutView="100" workbookViewId="0">
      <selection pane="topLeft" activeCell="G20" activeCellId="0" sqref="G20"/>
    </sheetView>
  </sheetViews>
  <sheetFormatPr defaultColWidth="11.53515625" defaultRowHeight="12.8" customHeight="false" zeroHeight="false" outlineLevelRow="0" outlineLevelCol="0"/>
  <sheetData>
    <row r="2" customFormat="false" ht="15.95" hidden="false" customHeight="true" outlineLevel="0" collapsed="false">
      <c r="B2" s="11"/>
      <c r="D2" s="0" t="n">
        <v>0</v>
      </c>
      <c r="E2" s="0" t="s">
        <v>32</v>
      </c>
      <c r="F2" s="0" t="n">
        <v>134436</v>
      </c>
      <c r="G2" s="12" t="n">
        <f aca="false">F2/F$5</f>
        <v>0.513345705317662</v>
      </c>
      <c r="H2" s="12" t="n">
        <f aca="false">F2/(F2+F3)</f>
        <v>0.591075566185814</v>
      </c>
    </row>
    <row r="3" customFormat="false" ht="13.8" hidden="false" customHeight="false" outlineLevel="0" collapsed="false">
      <c r="D3" s="0" t="n">
        <v>2</v>
      </c>
      <c r="E3" s="0" t="s">
        <v>33</v>
      </c>
      <c r="F3" s="0" t="n">
        <v>93007</v>
      </c>
      <c r="G3" s="12" t="n">
        <f aca="false">F3/F$5</f>
        <v>0.355148501997083</v>
      </c>
      <c r="H3" s="12" t="n">
        <f aca="false">1-H2</f>
        <v>0.408924433814186</v>
      </c>
    </row>
    <row r="4" customFormat="false" ht="13.8" hidden="false" customHeight="false" outlineLevel="0" collapsed="false">
      <c r="D4" s="0" t="n">
        <v>1</v>
      </c>
      <c r="E4" s="0" t="s">
        <v>34</v>
      </c>
      <c r="F4" s="0" t="n">
        <v>34439</v>
      </c>
      <c r="G4" s="12" t="n">
        <f aca="false">F4/F$5</f>
        <v>0.131505792685255</v>
      </c>
    </row>
    <row r="5" customFormat="false" ht="13.8" hidden="false" customHeight="false" outlineLevel="0" collapsed="false">
      <c r="E5" s="0" t="s">
        <v>35</v>
      </c>
      <c r="F5" s="0" t="n">
        <f aca="false">SUM(F2:F4)</f>
        <v>261882</v>
      </c>
      <c r="G5" s="12" t="n">
        <f aca="false">F5/F$5</f>
        <v>1</v>
      </c>
    </row>
    <row r="6" customFormat="false" ht="12.8" hidden="false" customHeight="false" outlineLevel="0" collapsed="false">
      <c r="F6" s="0" t="n">
        <f aca="false">F2+F3</f>
        <v>227443</v>
      </c>
    </row>
    <row r="9" customFormat="false" ht="12.8" hidden="false" customHeight="false" outlineLevel="0" collapsed="false">
      <c r="H9" s="12"/>
    </row>
    <row r="10" customFormat="false" ht="13.8" hidden="false" customHeight="false" outlineLevel="0" collapsed="false">
      <c r="E10" s="0" t="s">
        <v>36</v>
      </c>
      <c r="F10" s="0" t="s">
        <v>32</v>
      </c>
      <c r="G10" s="0" t="n">
        <v>107549</v>
      </c>
      <c r="H10" s="12" t="n">
        <f aca="false">G10/(G10+G11)</f>
        <v>0.591077964760324</v>
      </c>
    </row>
    <row r="11" customFormat="false" ht="12.8" hidden="false" customHeight="false" outlineLevel="0" collapsed="false">
      <c r="F11" s="0" t="s">
        <v>33</v>
      </c>
      <c r="G11" s="0" t="n">
        <v>74405</v>
      </c>
      <c r="H11" s="12" t="n">
        <f aca="false">G11/(G10+G11)</f>
        <v>0.408922035239676</v>
      </c>
    </row>
    <row r="12" customFormat="false" ht="13.8" hidden="false" customHeight="false" outlineLevel="0" collapsed="false">
      <c r="E12" s="0" t="s">
        <v>37</v>
      </c>
      <c r="F12" s="0" t="s">
        <v>32</v>
      </c>
      <c r="G12" s="0" t="n">
        <v>26887</v>
      </c>
      <c r="H12" s="12" t="n">
        <f aca="false">G12/(G12+G13)</f>
        <v>0.591065971993229</v>
      </c>
    </row>
    <row r="13" customFormat="false" ht="13.8" hidden="false" customHeight="false" outlineLevel="0" collapsed="false">
      <c r="F13" s="0" t="s">
        <v>33</v>
      </c>
      <c r="G13" s="0" t="n">
        <v>18602</v>
      </c>
      <c r="H13" s="12" t="n">
        <f aca="false">G13/(G12+G13)</f>
        <v>0.408934028006771</v>
      </c>
    </row>
    <row r="14" customFormat="false" ht="12.8" hidden="false" customHeight="false" outlineLevel="0" collapsed="false">
      <c r="F14" s="0" t="s">
        <v>35</v>
      </c>
      <c r="G14" s="0" t="n">
        <f aca="false">SUM(G10:G13)</f>
        <v>227443</v>
      </c>
    </row>
    <row r="16" customFormat="false" ht="12.8" hidden="false" customHeight="false" outlineLevel="0" collapsed="false">
      <c r="G16" s="0" t="n">
        <f aca="false">F2+F3</f>
        <v>227443</v>
      </c>
    </row>
    <row r="18" customFormat="false" ht="12.8" hidden="false" customHeight="false" outlineLevel="0" collapsed="false">
      <c r="G18" s="0" t="n">
        <f aca="false">G16*0.2</f>
        <v>45488.6</v>
      </c>
    </row>
    <row r="19" customFormat="false" ht="12.8" hidden="false" customHeight="false" outlineLevel="0" collapsed="false">
      <c r="G19" s="0" t="n">
        <f aca="false">G12+G13</f>
        <v>45489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6761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2026-08-11T01:15:19Z</dcterms:created>
  <dc:creator>openpyxl</dc:creator>
  <dc:description/>
  <dc:language>en-US</dc:language>
  <cp:lastModifiedBy/>
  <dcterms:modified xsi:type="dcterms:W3CDTF">2026-08-16T15:35:37Z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